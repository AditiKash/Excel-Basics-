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hidePivotFieldList="1"/>
  <xr:revisionPtr revIDLastSave="1140" documentId="11_946C7B14658EE28378B50197C93448E4740E04EF" xr6:coauthVersionLast="47" xr6:coauthVersionMax="47" xr10:uidLastSave="{DFC27DEF-8F82-400D-A06A-5ADAC1BB6ACC}"/>
  <bookViews>
    <workbookView xWindow="0" yWindow="0" windowWidth="0" windowHeight="0" firstSheet="1" activeTab="1" xr2:uid="{00000000-000D-0000-FFFF-FFFF00000000}"/>
  </bookViews>
  <sheets>
    <sheet name="Ans_2,3" sheetId="4" r:id="rId1"/>
    <sheet name="Ans_4,5,6" sheetId="1" r:id="rId2"/>
    <sheet name="Ans_7,8" sheetId="3" r:id="rId3"/>
  </sheets>
  <definedNames>
    <definedName name="_xlnm._FilterDatabase" localSheetId="1" hidden="1">'Ans_4,5,6'!$I$50:$I$50</definedName>
  </definedNames>
  <calcPr calcId="191028"/>
  <pivotCaches>
    <pivotCache cacheId="516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 a="1"/>
  <c r="I5" i="4"/>
  <c r="I6" i="4"/>
  <c r="I7" i="4"/>
  <c r="B11" i="4"/>
  <c r="H10" i="1"/>
  <c r="K5" i="1"/>
  <c r="H2" i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K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<sst xmlns="http://schemas.openxmlformats.org/spreadsheetml/2006/main" count="210" uniqueCount="113">
  <si>
    <t>EXCEL BASIC ASSIGNMENT</t>
  </si>
  <si>
    <t>Vehicle</t>
  </si>
  <si>
    <t>Price</t>
  </si>
  <si>
    <r>
      <t>  Item</t>
    </r>
    <r>
      <rPr>
        <sz val="12"/>
        <rFont val="Arial"/>
        <charset val="1"/>
      </rPr>
      <t> </t>
    </r>
  </si>
  <si>
    <r>
      <t>Price</t>
    </r>
    <r>
      <rPr>
        <sz val="12"/>
        <rFont val="Arial"/>
        <charset val="1"/>
      </rPr>
      <t> </t>
    </r>
  </si>
  <si>
    <r>
      <t>Sales</t>
    </r>
    <r>
      <rPr>
        <sz val="12"/>
        <rFont val="Arial"/>
        <charset val="1"/>
      </rPr>
      <t> </t>
    </r>
  </si>
  <si>
    <t>Total revenue</t>
  </si>
  <si>
    <t xml:space="preserve">Car </t>
  </si>
  <si>
    <t>A </t>
  </si>
  <si>
    <t>Total unit sold</t>
  </si>
  <si>
    <t xml:space="preserve">Bicycle </t>
  </si>
  <si>
    <t>B </t>
  </si>
  <si>
    <t>average selling price</t>
  </si>
  <si>
    <t>Auto-Rickshaw</t>
  </si>
  <si>
    <t>C </t>
  </si>
  <si>
    <t xml:space="preserve">2. Total Sales of Car and bicycle only. </t>
  </si>
  <si>
    <t>Order ID</t>
  </si>
  <si>
    <t>Customer Name</t>
  </si>
  <si>
    <t>Region</t>
  </si>
  <si>
    <t>Product</t>
  </si>
  <si>
    <t>Quantity</t>
  </si>
  <si>
    <t>Unit Price</t>
  </si>
  <si>
    <t>Order Date</t>
  </si>
  <si>
    <t>Total Sales</t>
  </si>
  <si>
    <t>Amit Sharma</t>
  </si>
  <si>
    <t>North</t>
  </si>
  <si>
    <t>Notebook</t>
  </si>
  <si>
    <t>Neha Verma</t>
  </si>
  <si>
    <t>South</t>
  </si>
  <si>
    <t>Pen</t>
  </si>
  <si>
    <t>4.Total sales of Notebook in North region</t>
  </si>
  <si>
    <t>Rahul Singh</t>
  </si>
  <si>
    <t>East</t>
  </si>
  <si>
    <t>Marker</t>
  </si>
  <si>
    <t>Pooja Mehta</t>
  </si>
  <si>
    <t>West</t>
  </si>
  <si>
    <t xml:space="preserve">5.Total no. of Customers 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</si>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</sst>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FFFFFF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sz val="12"/>
      <name val="Arial"/>
      <charset val="1"/>
    </font>
    <font>
      <b/>
      <sz val="14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33">
    <dxf>
      <font>
        <b val="0"/>
      </font>
      <alignment horizontal="center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 style="medium">
          <color rgb="FF000000"/>
        </vertical>
        <horizontal style="medium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m\-dd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m\-dd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[pending assn.xlsx]Ans_7,8!PivotTable1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layout>
        <c:manualLayout>
          <c:xMode val="edge"/>
          <c:yMode val="edge"/>
          <c:x val="0.32429694298822725"/>
          <c:y val="2.9213798644672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'Ans_7,8'!$G$3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'Ans_7,8'!$F$4:$F$9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'Ans_7,8'!$G$4:$G$9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8-4537-92AA-23C7B9C02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915207"/>
        <c:axId val="2066236935"/>
      </c:barChart>
      <c:catAx>
        <c:axId val="1660915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36935"/>
        <c:crosses val="autoZero"/>
        <c:auto val="1"/>
        <c:lblAlgn val="ctr"/>
        <c:lblOffset val="100"/>
        <c:noMultiLvlLbl val="0"/>
      </c:catAx>
      <c:valAx>
        <c:axId val="206623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91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multiLvlStrRef>
              <c:f>('Ans_4,5,6'!$D$2:$D$51,'Ans_4,5,6'!$G$2:$G$51)</c:f>
              <c:multiLvlStrCache>
                <c:ptCount val="50"/>
                <c:lvl>
                  <c:pt idx="0">
                    <c:v>05-01-2024</c:v>
                  </c:pt>
                  <c:pt idx="1">
                    <c:v>06-01-2024</c:v>
                  </c:pt>
                  <c:pt idx="2">
                    <c:v>07-01-2024</c:v>
                  </c:pt>
                  <c:pt idx="3">
                    <c:v>08-01-2024</c:v>
                  </c:pt>
                  <c:pt idx="4">
                    <c:v>10-01-2024</c:v>
                  </c:pt>
                  <c:pt idx="5">
                    <c:v>11-01-2024</c:v>
                  </c:pt>
                  <c:pt idx="6">
                    <c:v>13-01-2024</c:v>
                  </c:pt>
                  <c:pt idx="7">
                    <c:v>15-01-2024</c:v>
                  </c:pt>
                  <c:pt idx="8">
                    <c:v>17-01-2024</c:v>
                  </c:pt>
                  <c:pt idx="9">
                    <c:v>18-01-2024</c:v>
                  </c:pt>
                  <c:pt idx="10">
                    <c:v>19-01-2024</c:v>
                  </c:pt>
                  <c:pt idx="11">
                    <c:v>20-01-2024</c:v>
                  </c:pt>
                  <c:pt idx="12">
                    <c:v>22-01-2024</c:v>
                  </c:pt>
                  <c:pt idx="13">
                    <c:v>23-01-2024</c:v>
                  </c:pt>
                  <c:pt idx="14">
                    <c:v>24-01-2024</c:v>
                  </c:pt>
                  <c:pt idx="15">
                    <c:v>26-01-2024</c:v>
                  </c:pt>
                  <c:pt idx="16">
                    <c:v>28-01-2024</c:v>
                  </c:pt>
                  <c:pt idx="17">
                    <c:v>29-01-2024</c:v>
                  </c:pt>
                  <c:pt idx="18">
                    <c:v>30-01-2024</c:v>
                  </c:pt>
                  <c:pt idx="19">
                    <c:v>01-02-2024</c:v>
                  </c:pt>
                  <c:pt idx="20">
                    <c:v>02-02-2024</c:v>
                  </c:pt>
                  <c:pt idx="21">
                    <c:v>03-02-2024</c:v>
                  </c:pt>
                  <c:pt idx="22">
                    <c:v>04-02-2024</c:v>
                  </c:pt>
                  <c:pt idx="23">
                    <c:v>06-02-2024</c:v>
                  </c:pt>
                  <c:pt idx="24">
                    <c:v>07-02-2024</c:v>
                  </c:pt>
                  <c:pt idx="25">
                    <c:v>08-02-2024</c:v>
                  </c:pt>
                  <c:pt idx="26">
                    <c:v>09-02-2024</c:v>
                  </c:pt>
                  <c:pt idx="27">
                    <c:v>10-02-2024</c:v>
                  </c:pt>
                  <c:pt idx="28">
                    <c:v>12-02-2024</c:v>
                  </c:pt>
                  <c:pt idx="29">
                    <c:v>13-02-2024</c:v>
                  </c:pt>
                  <c:pt idx="30">
                    <c:v>14-02-2024</c:v>
                  </c:pt>
                  <c:pt idx="31">
                    <c:v>16-02-2024</c:v>
                  </c:pt>
                  <c:pt idx="32">
                    <c:v>17-02-2024</c:v>
                  </c:pt>
                  <c:pt idx="33">
                    <c:v>18-02-2024</c:v>
                  </c:pt>
                  <c:pt idx="34">
                    <c:v>19-02-2024</c:v>
                  </c:pt>
                  <c:pt idx="35">
                    <c:v>21-02-2024</c:v>
                  </c:pt>
                  <c:pt idx="36">
                    <c:v>22-02-2024</c:v>
                  </c:pt>
                  <c:pt idx="37">
                    <c:v>23-02-2024</c:v>
                  </c:pt>
                  <c:pt idx="38">
                    <c:v>25-02-2024</c:v>
                  </c:pt>
                  <c:pt idx="39">
                    <c:v>26-02-2024</c:v>
                  </c:pt>
                  <c:pt idx="40">
                    <c:v>27-02-2024</c:v>
                  </c:pt>
                  <c:pt idx="41">
                    <c:v>28-02-2024</c:v>
                  </c:pt>
                  <c:pt idx="42">
                    <c:v>01-03-2024</c:v>
                  </c:pt>
                  <c:pt idx="43">
                    <c:v>02-03-2024</c:v>
                  </c:pt>
                  <c:pt idx="44">
                    <c:v>03-03-2024</c:v>
                  </c:pt>
                  <c:pt idx="45">
                    <c:v>04-03-2024</c:v>
                  </c:pt>
                  <c:pt idx="46">
                    <c:v>05-03-2024</c:v>
                  </c:pt>
                  <c:pt idx="47">
                    <c:v>06-03-2024</c:v>
                  </c:pt>
                  <c:pt idx="48">
                    <c:v>07-03-2024</c:v>
                  </c:pt>
                  <c:pt idx="49">
                    <c:v>08-03-2024</c:v>
                  </c:pt>
                </c:lvl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</c:multiLvlStrCache>
            </c:multiLvlStrRef>
          </c:cat>
          <c:val>
            <c:numRef>
              <c:f>'Ans_4,5,6'!$H$2:$H$51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9-4A96-8065-8C050F00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552711"/>
        <c:axId val="508554759"/>
      </c:lineChart>
      <c:catAx>
        <c:axId val="50855271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8554759"/>
        <c:crosses val="autoZero"/>
        <c:auto val="1"/>
        <c:lblAlgn val="ctr"/>
        <c:lblOffset val="100"/>
        <c:noMultiLvlLbl val="0"/>
      </c:catAx>
      <c:valAx>
        <c:axId val="50855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52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152400</xdr:rowOff>
    </xdr:from>
    <xdr:to>
      <xdr:col>3</xdr:col>
      <xdr:colOff>2247900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FD209-C0D2-B224-310B-9F90E6FF8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152400</xdr:rowOff>
    </xdr:from>
    <xdr:to>
      <xdr:col>4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9CF78-50F3-443B-AD7F-FE6C8CE47409}"/>
            </a:ext>
            <a:ext uri="{147F2762-F138-4A5C-976F-8EAC2B608ADB}">
              <a16:predDERef xmlns:a16="http://schemas.microsoft.com/office/drawing/2014/main" pred="{15FFD209-C0D2-B224-310B-9F90E6FF8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466688657405" createdVersion="8" refreshedVersion="8" minRefreshableVersion="3" recordCount="50" xr:uid="{7108DEF5-673D-43A5-848D-8066B1032CE9}">
  <cacheSource type="worksheet">
    <worksheetSource name="Table1"/>
  </cacheSource>
  <cacheFields count="8">
    <cacheField name="Order ID" numFmtId="0">
      <sharedItems containsSemiMixedTypes="0" containsString="0" containsNumber="1" containsInteger="1" minValue="1001" maxValue="1050"/>
    </cacheField>
    <cacheField name="Customer 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 Price" numFmtId="0">
      <sharedItems containsSemiMixedTypes="0" containsString="0" containsNumber="1" containsInteger="1" minValue="5" maxValue="50"/>
    </cacheField>
    <cacheField name="Order Date" numFmtId="0">
      <sharedItems containsDate="1" containsMixedTypes="1" minDate="2024-01-02T00:00:00" maxDate="2024-12-03T00:00:00" count="50">
        <d v="2024-05-01T00:00:00"/>
        <d v="2024-06-01T00:00:00"/>
        <d v="2024-07-01T00:00:00"/>
        <d v="2024-08-01T00:00:00"/>
        <d v="2024-10-01T00:00:00"/>
        <d v="2024-11-01T00:00:00"/>
        <s v="13-01-2024"/>
        <s v="15-01-2024"/>
        <s v="17-01-2024"/>
        <s v="18-01-2024"/>
        <s v="19-01-2024"/>
        <s v="20-01-2024"/>
        <s v="22-01-2024"/>
        <s v="23-01-2024"/>
        <s v="24-01-2024"/>
        <s v="26-01-2024"/>
        <s v="28-01-2024"/>
        <s v="29-01-2024"/>
        <s v="30-01-2024"/>
        <d v="2024-01-02T00:00:00"/>
        <d v="2024-02-02T00:00:00"/>
        <d v="2024-03-02T00:00:00"/>
        <d v="2024-04-02T00:00:00"/>
        <d v="2024-06-02T00:00:00"/>
        <d v="2024-07-02T00:00:00"/>
        <d v="2024-08-02T00:00:00"/>
        <d v="2024-09-02T00:00:00"/>
        <d v="2024-10-02T00:00:00"/>
        <d v="2024-12-02T00:00:00"/>
        <s v="13-02-2024"/>
        <s v="14-02-2024"/>
        <s v="16-02-2024"/>
        <s v="17-02-2024"/>
        <s v="18-02-2024"/>
        <s v="19-02-2024"/>
        <s v="21-02-2024"/>
        <s v="22-02-2024"/>
        <s v="23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</sharedItems>
    </cacheField>
    <cacheField name="Total Sales" numFmtId="0">
      <sharedItems containsSemiMixedTypes="0" containsString="0" containsNumber="1" containsInteger="1" minValue="90" maxValue="850" count="34">
        <n v="500"/>
        <n v="200"/>
        <n v="375"/>
        <n v="250"/>
        <n v="150"/>
        <n v="600"/>
        <n v="180"/>
        <n v="550"/>
        <n v="400"/>
        <n v="280"/>
        <n v="700"/>
        <n v="300"/>
        <n v="125"/>
        <n v="160"/>
        <n v="450"/>
        <n v="175"/>
        <n v="240"/>
        <n v="140"/>
        <n v="110"/>
        <n v="216"/>
        <n v="650"/>
        <n v="320"/>
        <n v="90"/>
        <n v="176"/>
        <n v="850"/>
        <n v="190"/>
        <n v="192"/>
        <n v="800"/>
        <n v="270"/>
        <n v="525"/>
        <n v="208"/>
        <n v="425"/>
        <n v="95"/>
        <n v="2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x v="0"/>
    <x v="0"/>
    <n v="10"/>
    <n v="50"/>
    <x v="0"/>
    <x v="0"/>
  </r>
  <r>
    <n v="1002"/>
    <s v="Neha Verma"/>
    <x v="1"/>
    <x v="1"/>
    <n v="20"/>
    <n v="10"/>
    <x v="1"/>
    <x v="1"/>
  </r>
  <r>
    <n v="1003"/>
    <s v="Rahul Singh"/>
    <x v="2"/>
    <x v="2"/>
    <n v="15"/>
    <n v="25"/>
    <x v="2"/>
    <x v="2"/>
  </r>
  <r>
    <n v="1004"/>
    <s v="Pooja Mehta"/>
    <x v="3"/>
    <x v="0"/>
    <n v="5"/>
    <n v="50"/>
    <x v="3"/>
    <x v="3"/>
  </r>
  <r>
    <n v="1005"/>
    <s v="Ankit Jain"/>
    <x v="0"/>
    <x v="3"/>
    <n v="30"/>
    <n v="5"/>
    <x v="4"/>
    <x v="4"/>
  </r>
  <r>
    <n v="1006"/>
    <s v="Sneha Patel"/>
    <x v="1"/>
    <x v="0"/>
    <n v="12"/>
    <n v="50"/>
    <x v="5"/>
    <x v="5"/>
  </r>
  <r>
    <n v="1007"/>
    <s v="Vikas Gupta"/>
    <x v="2"/>
    <x v="4"/>
    <n v="25"/>
    <n v="8"/>
    <x v="6"/>
    <x v="1"/>
  </r>
  <r>
    <n v="1008"/>
    <s v="Meera Nair"/>
    <x v="3"/>
    <x v="1"/>
    <n v="18"/>
    <n v="10"/>
    <x v="7"/>
    <x v="6"/>
  </r>
  <r>
    <n v="1009"/>
    <s v="Anjali Rao"/>
    <x v="0"/>
    <x v="2"/>
    <n v="22"/>
    <n v="25"/>
    <x v="8"/>
    <x v="7"/>
  </r>
  <r>
    <n v="1010"/>
    <s v="Manoj Das"/>
    <x v="1"/>
    <x v="0"/>
    <n v="8"/>
    <n v="50"/>
    <x v="9"/>
    <x v="8"/>
  </r>
  <r>
    <n v="1011"/>
    <s v="Ritika Sen"/>
    <x v="2"/>
    <x v="3"/>
    <n v="40"/>
    <n v="5"/>
    <x v="10"/>
    <x v="1"/>
  </r>
  <r>
    <n v="1012"/>
    <s v="Karan Malhotra"/>
    <x v="3"/>
    <x v="4"/>
    <n v="35"/>
    <n v="8"/>
    <x v="11"/>
    <x v="9"/>
  </r>
  <r>
    <n v="1013"/>
    <s v="Aryan Joshi"/>
    <x v="0"/>
    <x v="0"/>
    <n v="14"/>
    <n v="50"/>
    <x v="12"/>
    <x v="10"/>
  </r>
  <r>
    <n v="1014"/>
    <s v="Divya Kapoor"/>
    <x v="1"/>
    <x v="1"/>
    <n v="28"/>
    <n v="10"/>
    <x v="13"/>
    <x v="9"/>
  </r>
  <r>
    <n v="1015"/>
    <s v="Sahil Arora"/>
    <x v="2"/>
    <x v="2"/>
    <n v="12"/>
    <n v="25"/>
    <x v="14"/>
    <x v="11"/>
  </r>
  <r>
    <n v="1016"/>
    <s v="Muskan Jain"/>
    <x v="3"/>
    <x v="3"/>
    <n v="25"/>
    <n v="5"/>
    <x v="15"/>
    <x v="12"/>
  </r>
  <r>
    <n v="1017"/>
    <s v="Rohan Gupta"/>
    <x v="0"/>
    <x v="4"/>
    <n v="20"/>
    <n v="8"/>
    <x v="16"/>
    <x v="13"/>
  </r>
  <r>
    <n v="1018"/>
    <s v="Nidhi Sharma"/>
    <x v="1"/>
    <x v="0"/>
    <n v="10"/>
    <n v="50"/>
    <x v="17"/>
    <x v="0"/>
  </r>
  <r>
    <n v="1019"/>
    <s v="Tarun Verma"/>
    <x v="2"/>
    <x v="1"/>
    <n v="15"/>
    <n v="10"/>
    <x v="18"/>
    <x v="4"/>
  </r>
  <r>
    <n v="1020"/>
    <s v="Simran Kaur"/>
    <x v="3"/>
    <x v="2"/>
    <n v="18"/>
    <n v="25"/>
    <x v="19"/>
    <x v="14"/>
  </r>
  <r>
    <n v="1021"/>
    <s v="Deepak Rao"/>
    <x v="0"/>
    <x v="0"/>
    <n v="9"/>
    <n v="50"/>
    <x v="20"/>
    <x v="14"/>
  </r>
  <r>
    <n v="1022"/>
    <s v="Payal Mehta"/>
    <x v="1"/>
    <x v="3"/>
    <n v="35"/>
    <n v="5"/>
    <x v="21"/>
    <x v="15"/>
  </r>
  <r>
    <n v="1023"/>
    <s v="Aditya Singh"/>
    <x v="2"/>
    <x v="4"/>
    <n v="30"/>
    <n v="8"/>
    <x v="22"/>
    <x v="16"/>
  </r>
  <r>
    <n v="1024"/>
    <s v="Shreya Nair"/>
    <x v="3"/>
    <x v="0"/>
    <n v="11"/>
    <n v="50"/>
    <x v="23"/>
    <x v="7"/>
  </r>
  <r>
    <n v="1025"/>
    <s v="Sanjay Kumar"/>
    <x v="0"/>
    <x v="1"/>
    <n v="14"/>
    <n v="10"/>
    <x v="24"/>
    <x v="17"/>
  </r>
  <r>
    <n v="1026"/>
    <s v="Aarti Sharma"/>
    <x v="1"/>
    <x v="2"/>
    <n v="16"/>
    <n v="25"/>
    <x v="25"/>
    <x v="8"/>
  </r>
  <r>
    <n v="1027"/>
    <s v="Rajesh Patel"/>
    <x v="2"/>
    <x v="3"/>
    <n v="22"/>
    <n v="5"/>
    <x v="26"/>
    <x v="18"/>
  </r>
  <r>
    <n v="1028"/>
    <s v="Preeti Joshi"/>
    <x v="3"/>
    <x v="4"/>
    <n v="27"/>
    <n v="8"/>
    <x v="27"/>
    <x v="19"/>
  </r>
  <r>
    <n v="1029"/>
    <s v="Anurag Mishra"/>
    <x v="0"/>
    <x v="0"/>
    <n v="13"/>
    <n v="50"/>
    <x v="28"/>
    <x v="20"/>
  </r>
  <r>
    <n v="1030"/>
    <s v="Sanya Kapoor"/>
    <x v="1"/>
    <x v="1"/>
    <n v="32"/>
    <n v="10"/>
    <x v="29"/>
    <x v="21"/>
  </r>
  <r>
    <n v="1031"/>
    <s v="Harsh Yadav"/>
    <x v="2"/>
    <x v="2"/>
    <n v="10"/>
    <n v="25"/>
    <x v="30"/>
    <x v="3"/>
  </r>
  <r>
    <n v="1032"/>
    <s v="Kajal Rani"/>
    <x v="3"/>
    <x v="3"/>
    <n v="18"/>
    <n v="5"/>
    <x v="31"/>
    <x v="22"/>
  </r>
  <r>
    <n v="1033"/>
    <s v="Varun Sharma"/>
    <x v="0"/>
    <x v="4"/>
    <n v="22"/>
    <n v="8"/>
    <x v="32"/>
    <x v="23"/>
  </r>
  <r>
    <n v="1034"/>
    <s v="Swati Arora"/>
    <x v="1"/>
    <x v="0"/>
    <n v="17"/>
    <n v="50"/>
    <x v="33"/>
    <x v="24"/>
  </r>
  <r>
    <n v="1035"/>
    <s v="Akhil Jain"/>
    <x v="2"/>
    <x v="1"/>
    <n v="19"/>
    <n v="10"/>
    <x v="34"/>
    <x v="25"/>
  </r>
  <r>
    <n v="1036"/>
    <s v="Priyanka Das"/>
    <x v="3"/>
    <x v="2"/>
    <n v="15"/>
    <n v="25"/>
    <x v="35"/>
    <x v="2"/>
  </r>
  <r>
    <n v="1037"/>
    <s v="Ravi Nair"/>
    <x v="0"/>
    <x v="3"/>
    <n v="28"/>
    <n v="5"/>
    <x v="36"/>
    <x v="17"/>
  </r>
  <r>
    <n v="1038"/>
    <s v="Komal Singh"/>
    <x v="1"/>
    <x v="4"/>
    <n v="24"/>
    <n v="8"/>
    <x v="37"/>
    <x v="26"/>
  </r>
  <r>
    <n v="1039"/>
    <s v="Ayesha Khan"/>
    <x v="2"/>
    <x v="0"/>
    <n v="16"/>
    <n v="50"/>
    <x v="38"/>
    <x v="27"/>
  </r>
  <r>
    <n v="1040"/>
    <s v="Arjun Mehta"/>
    <x v="3"/>
    <x v="1"/>
    <n v="27"/>
    <n v="10"/>
    <x v="39"/>
    <x v="28"/>
  </r>
  <r>
    <n v="1041"/>
    <s v="Sonali Gupta"/>
    <x v="0"/>
    <x v="2"/>
    <n v="21"/>
    <n v="25"/>
    <x v="40"/>
    <x v="29"/>
  </r>
  <r>
    <n v="1042"/>
    <s v="Neeraj Kapoor"/>
    <x v="1"/>
    <x v="3"/>
    <n v="30"/>
    <n v="5"/>
    <x v="41"/>
    <x v="4"/>
  </r>
  <r>
    <n v="1043"/>
    <s v="Shruti Sharma"/>
    <x v="2"/>
    <x v="4"/>
    <n v="26"/>
    <n v="8"/>
    <x v="42"/>
    <x v="30"/>
  </r>
  <r>
    <n v="1044"/>
    <s v="Yash Arora"/>
    <x v="3"/>
    <x v="0"/>
    <n v="14"/>
    <n v="50"/>
    <x v="43"/>
    <x v="10"/>
  </r>
  <r>
    <n v="1045"/>
    <s v="Manish Das"/>
    <x v="0"/>
    <x v="1"/>
    <n v="20"/>
    <n v="10"/>
    <x v="44"/>
    <x v="1"/>
  </r>
  <r>
    <n v="1046"/>
    <s v="Rupal Nair"/>
    <x v="1"/>
    <x v="2"/>
    <n v="17"/>
    <n v="25"/>
    <x v="45"/>
    <x v="31"/>
  </r>
  <r>
    <n v="1047"/>
    <s v="Sonia Verma"/>
    <x v="2"/>
    <x v="3"/>
    <n v="19"/>
    <n v="5"/>
    <x v="46"/>
    <x v="32"/>
  </r>
  <r>
    <n v="1048"/>
    <s v="Kunal Singh"/>
    <x v="3"/>
    <x v="4"/>
    <n v="32"/>
    <n v="8"/>
    <x v="47"/>
    <x v="33"/>
  </r>
  <r>
    <n v="1049"/>
    <s v="Ritika Jain"/>
    <x v="0"/>
    <x v="0"/>
    <n v="12"/>
    <n v="50"/>
    <x v="48"/>
    <x v="5"/>
  </r>
  <r>
    <n v="1050"/>
    <s v="Vivek Malhotra"/>
    <x v="1"/>
    <x v="1"/>
    <n v="25"/>
    <n v="10"/>
    <x v="4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A5FE9-6491-417F-B99E-BBA504F0BB54}" name="PivotTable1" cacheId="5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F3:G9" firstHeaderRow="1" firstDataRow="1" firstDataCol="1"/>
  <pivotFields count="8"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51">
        <item x="6"/>
        <item x="29"/>
        <item x="30"/>
        <item x="7"/>
        <item x="31"/>
        <item x="8"/>
        <item x="32"/>
        <item x="9"/>
        <item x="33"/>
        <item x="10"/>
        <item x="34"/>
        <item x="11"/>
        <item x="35"/>
        <item x="12"/>
        <item x="36"/>
        <item x="13"/>
        <item x="37"/>
        <item x="14"/>
        <item x="38"/>
        <item x="15"/>
        <item x="39"/>
        <item x="40"/>
        <item x="16"/>
        <item x="41"/>
        <item x="17"/>
        <item x="18"/>
        <item x="19"/>
        <item x="42"/>
        <item x="20"/>
        <item x="43"/>
        <item x="21"/>
        <item x="44"/>
        <item x="22"/>
        <item x="45"/>
        <item x="0"/>
        <item x="46"/>
        <item x="1"/>
        <item x="23"/>
        <item x="47"/>
        <item x="2"/>
        <item x="24"/>
        <item x="48"/>
        <item x="3"/>
        <item x="25"/>
        <item x="49"/>
        <item x="26"/>
        <item x="4"/>
        <item x="27"/>
        <item x="5"/>
        <item x="28"/>
        <item t="default"/>
      </items>
    </pivotField>
    <pivotField dataField="1"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Sales" fld="7" baseField="0" baseItem="0"/>
  </dataFields>
  <formats count="6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3" type="button" dataOnly="0" labelOnly="1" outline="0" axis="axisRow" fieldPosition="0"/>
    </format>
    <format dxfId="30">
      <pivotArea dataOnly="0" labelOnly="1" outline="0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09713E-A312-48B5-9537-D0A72CFC4DAA}" name="Table2" displayName="Table2" ref="A5:B8" totalsRowShown="0" headerRowDxfId="26" dataDxfId="25">
  <autoFilter ref="A5:B8" xr:uid="{AB09713E-A312-48B5-9537-D0A72CFC4DAA}">
    <filterColumn colId="0" hiddenButton="1"/>
    <filterColumn colId="1" hiddenButton="1"/>
  </autoFilter>
  <tableColumns count="2">
    <tableColumn id="1" xr3:uid="{A6AE2E8D-E132-44A0-B892-3CF053A364DD}" name="Vehicle" dataDxfId="24"/>
    <tableColumn id="2" xr3:uid="{FC8E83E0-1AE3-45CF-A212-83FA0BD3BEBB}" name="Pric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C3468C-C977-44E9-9B54-1D4FCBACD8C7}" name="Table3" displayName="Table3" ref="D5:F8" totalsRowShown="0" headerRowDxfId="22" dataDxfId="21">
  <autoFilter ref="D5:F8" xr:uid="{89C3468C-C977-44E9-9B54-1D4FCBACD8C7}">
    <filterColumn colId="0" hiddenButton="1"/>
    <filterColumn colId="1" hiddenButton="1"/>
    <filterColumn colId="2" hiddenButton="1"/>
  </autoFilter>
  <tableColumns count="3">
    <tableColumn id="1" xr3:uid="{B51BEC96-96DF-4167-9F9D-DAE1CFE7FB94}" name="  Item " dataDxfId="20"/>
    <tableColumn id="2" xr3:uid="{9110D5BC-A968-40A2-83F2-C8EC42D41F84}" name="Price " dataDxfId="19"/>
    <tableColumn id="3" xr3:uid="{08910D8A-83E8-496B-9478-3C4965C9F5B8}" name="Sales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98F28-B903-4756-BFF3-170B7CDEADA5}" name="Table1" displayName="Table1" ref="A1:H51" totalsRowShown="0" headerRowDxfId="17" dataDxfId="16">
  <autoFilter ref="A1:H51" xr:uid="{93398F28-B903-4756-BFF3-170B7CDEAD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51">
    <sortCondition sortBy="cellColor" ref="H2:H51" dxfId="15"/>
  </sortState>
  <tableColumns count="8">
    <tableColumn id="1" xr3:uid="{56193664-9076-4C69-81C1-A576D2ED3E3F}" name="Order ID" dataDxfId="13" totalsRowDxfId="14"/>
    <tableColumn id="2" xr3:uid="{E7E4C552-EFF2-49A6-A69F-FA92F3968D09}" name="Customer Name" dataDxfId="11" totalsRowDxfId="12"/>
    <tableColumn id="3" xr3:uid="{47E6FD44-9098-4D70-96AF-885C3DE2B6E5}" name="Region" dataDxfId="9" totalsRowDxfId="10"/>
    <tableColumn id="4" xr3:uid="{EF9984EB-6885-4D9A-83CA-D6A5FEC80F03}" name="Product" dataDxfId="7" totalsRowDxfId="8"/>
    <tableColumn id="5" xr3:uid="{FDA1A3A3-FD0F-4C12-85CB-805B67F965D3}" name="Quantity" dataDxfId="5" totalsRowDxfId="6"/>
    <tableColumn id="6" xr3:uid="{E57EE6C5-0956-4852-AAB6-05167278B0D2}" name="Unit Price" dataDxfId="3" totalsRowDxfId="4"/>
    <tableColumn id="7" xr3:uid="{4022F869-8C27-436C-B20E-FE5156B87C1B}" name="Order Date" dataDxfId="1" totalsRowDxfId="2"/>
    <tableColumn id="8" xr3:uid="{4B9E1A32-EE9A-4D75-9255-A5E4FC304879}" name="Total Sales" dataDxfId="0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60C2-A9B2-4B84-9988-0BE4D87D7FA0}">
  <dimension ref="A1:I19"/>
  <sheetViews>
    <sheetView workbookViewId="0">
      <selection activeCell="F1" sqref="F1"/>
    </sheetView>
  </sheetViews>
  <sheetFormatPr defaultRowHeight="12.75"/>
  <cols>
    <col min="1" max="1" width="15.140625" customWidth="1"/>
    <col min="2" max="2" width="8.42578125" customWidth="1"/>
    <col min="4" max="4" width="8.5703125" customWidth="1"/>
    <col min="5" max="5" width="8.28515625" bestFit="1" customWidth="1"/>
    <col min="6" max="6" width="19.28515625" customWidth="1"/>
    <col min="8" max="8" width="12.42578125" bestFit="1" customWidth="1"/>
    <col min="9" max="9" width="11.85546875" bestFit="1" customWidth="1"/>
    <col min="10" max="10" width="8.5703125" bestFit="1" customWidth="1"/>
  </cols>
  <sheetData>
    <row r="1" spans="1:9" ht="36">
      <c r="F1" s="17" t="s">
        <v>0</v>
      </c>
    </row>
    <row r="5" spans="1:9" ht="15">
      <c r="A5" s="10" t="s">
        <v>1</v>
      </c>
      <c r="B5" s="10" t="s">
        <v>2</v>
      </c>
      <c r="D5" s="2" t="s">
        <v>3</v>
      </c>
      <c r="E5" s="2" t="s">
        <v>4</v>
      </c>
      <c r="F5" s="2" t="s">
        <v>5</v>
      </c>
      <c r="H5" s="15" t="s">
        <v>6</v>
      </c>
      <c r="I5" s="15" cm="1">
        <f t="array" ref="I5">SUMPRODUCT((E6:E8&gt;100)*(E6:E8&lt;300)*E6:E8*F6:F8)</f>
        <v>555000</v>
      </c>
    </row>
    <row r="6" spans="1:9" ht="14.25">
      <c r="A6" s="11" t="s">
        <v>7</v>
      </c>
      <c r="B6" s="11">
        <v>500000</v>
      </c>
      <c r="D6" s="2" t="s">
        <v>8</v>
      </c>
      <c r="E6" s="2">
        <v>90</v>
      </c>
      <c r="F6" s="2">
        <v>1000</v>
      </c>
      <c r="H6" s="15" t="s">
        <v>9</v>
      </c>
      <c r="I6" s="16">
        <f>SUMIFS(F6:F8,E6:E8,"&gt;100",E6:E8,"&lt;300")</f>
        <v>2700</v>
      </c>
    </row>
    <row r="7" spans="1:9" ht="24">
      <c r="A7" s="11" t="s">
        <v>10</v>
      </c>
      <c r="B7" s="11">
        <v>10500</v>
      </c>
      <c r="D7" s="2" t="s">
        <v>11</v>
      </c>
      <c r="E7" s="2">
        <v>150</v>
      </c>
      <c r="F7" s="2">
        <v>1200</v>
      </c>
      <c r="H7" s="16" t="s">
        <v>12</v>
      </c>
      <c r="I7" s="15">
        <f>I5/I6</f>
        <v>205.55555555555554</v>
      </c>
    </row>
    <row r="8" spans="1:9" ht="14.25">
      <c r="A8" s="13" t="s">
        <v>13</v>
      </c>
      <c r="B8" s="11">
        <v>25000</v>
      </c>
      <c r="D8" s="2" t="s">
        <v>14</v>
      </c>
      <c r="E8" s="2">
        <v>250</v>
      </c>
      <c r="F8" s="2">
        <v>1500</v>
      </c>
    </row>
    <row r="9" spans="1:9" ht="14.25">
      <c r="A9" s="12"/>
    </row>
    <row r="11" spans="1:9" ht="36">
      <c r="A11" s="14" t="s">
        <v>15</v>
      </c>
      <c r="B11">
        <f>B6+B7</f>
        <v>510500</v>
      </c>
    </row>
    <row r="14" spans="1:9">
      <c r="F14" s="14"/>
    </row>
    <row r="19" ht="15" customHeight="1"/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2"/>
  <sheetViews>
    <sheetView tabSelected="1" workbookViewId="0">
      <selection activeCell="J3" sqref="J3:L5"/>
    </sheetView>
  </sheetViews>
  <sheetFormatPr defaultColWidth="12.5703125" defaultRowHeight="15.75" customHeight="1"/>
  <cols>
    <col min="1" max="1" width="10.7109375" bestFit="1" customWidth="1"/>
    <col min="2" max="2" width="17.5703125" bestFit="1" customWidth="1"/>
    <col min="3" max="3" width="9.28515625" bestFit="1" customWidth="1"/>
    <col min="4" max="4" width="10.140625" customWidth="1"/>
    <col min="5" max="5" width="11" customWidth="1"/>
    <col min="6" max="6" width="11.85546875" customWidth="1"/>
    <col min="7" max="7" width="13" customWidth="1"/>
    <col min="8" max="8" width="13" bestFit="1" customWidth="1"/>
    <col min="9" max="9" width="19.5703125" bestFit="1" customWidth="1"/>
    <col min="10" max="10" width="34.28515625" customWidth="1"/>
    <col min="11" max="12" width="5" customWidth="1"/>
  </cols>
  <sheetData>
    <row r="1" spans="1:11" ht="1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9" t="s">
        <v>23</v>
      </c>
    </row>
    <row r="2" spans="1:11" ht="15">
      <c r="A2" s="3">
        <v>1001</v>
      </c>
      <c r="B2" s="3" t="s">
        <v>24</v>
      </c>
      <c r="C2" s="3" t="s">
        <v>25</v>
      </c>
      <c r="D2" s="3" t="s">
        <v>26</v>
      </c>
      <c r="E2" s="3">
        <v>10</v>
      </c>
      <c r="F2" s="3">
        <v>50</v>
      </c>
      <c r="G2" s="4">
        <v>45413</v>
      </c>
      <c r="H2" s="8">
        <f>E2*F2</f>
        <v>500</v>
      </c>
    </row>
    <row r="3" spans="1:11" ht="24">
      <c r="A3" s="3">
        <v>1002</v>
      </c>
      <c r="B3" s="3" t="s">
        <v>27</v>
      </c>
      <c r="C3" s="3" t="s">
        <v>28</v>
      </c>
      <c r="D3" s="3" t="s">
        <v>29</v>
      </c>
      <c r="E3" s="3">
        <v>20</v>
      </c>
      <c r="F3" s="3">
        <v>10</v>
      </c>
      <c r="G3" s="4">
        <v>45444</v>
      </c>
      <c r="H3" s="8">
        <f>E3*F3</f>
        <v>200</v>
      </c>
      <c r="J3" s="14" t="s">
        <v>30</v>
      </c>
      <c r="K3">
        <f>SUM('Ans_4,5,6'!H2,'Ans_4,5,6'!H14,'Ans_4,5,6'!H22,'Ans_4,5,6'!H50,'Ans_4,5,6'!H30)</f>
        <v>2900</v>
      </c>
    </row>
    <row r="4" spans="1:11" ht="15">
      <c r="A4" s="3">
        <v>1003</v>
      </c>
      <c r="B4" s="3" t="s">
        <v>31</v>
      </c>
      <c r="C4" s="3" t="s">
        <v>32</v>
      </c>
      <c r="D4" s="3" t="s">
        <v>33</v>
      </c>
      <c r="E4" s="3">
        <v>15</v>
      </c>
      <c r="F4" s="3">
        <v>25</v>
      </c>
      <c r="G4" s="4">
        <v>45474</v>
      </c>
      <c r="H4" s="8">
        <f>E4*F4</f>
        <v>375</v>
      </c>
    </row>
    <row r="5" spans="1:11" ht="15">
      <c r="A5" s="3">
        <v>1004</v>
      </c>
      <c r="B5" s="3" t="s">
        <v>34</v>
      </c>
      <c r="C5" s="3" t="s">
        <v>35</v>
      </c>
      <c r="D5" s="3" t="s">
        <v>26</v>
      </c>
      <c r="E5" s="3">
        <v>5</v>
      </c>
      <c r="F5" s="3">
        <v>50</v>
      </c>
      <c r="G5" s="4">
        <v>45505</v>
      </c>
      <c r="H5" s="8">
        <f>E5*F5</f>
        <v>250</v>
      </c>
      <c r="J5" t="s">
        <v>36</v>
      </c>
      <c r="K5">
        <f>COUNTA(Table1[Customer Name])</f>
        <v>50</v>
      </c>
    </row>
    <row r="6" spans="1:11" ht="15">
      <c r="A6" s="3">
        <v>1005</v>
      </c>
      <c r="B6" s="3" t="s">
        <v>37</v>
      </c>
      <c r="C6" s="3" t="s">
        <v>25</v>
      </c>
      <c r="D6" s="3" t="s">
        <v>38</v>
      </c>
      <c r="E6" s="3">
        <v>30</v>
      </c>
      <c r="F6" s="3">
        <v>5</v>
      </c>
      <c r="G6" s="4">
        <v>45566</v>
      </c>
      <c r="H6" s="8">
        <f>E6*F6</f>
        <v>150</v>
      </c>
    </row>
    <row r="7" spans="1:11" ht="15">
      <c r="A7" s="3">
        <v>1006</v>
      </c>
      <c r="B7" s="3" t="s">
        <v>39</v>
      </c>
      <c r="C7" s="3" t="s">
        <v>28</v>
      </c>
      <c r="D7" s="3" t="s">
        <v>26</v>
      </c>
      <c r="E7" s="3">
        <v>12</v>
      </c>
      <c r="F7" s="3">
        <v>50</v>
      </c>
      <c r="G7" s="4">
        <v>45597</v>
      </c>
      <c r="H7" s="8">
        <f>E7*F7</f>
        <v>600</v>
      </c>
    </row>
    <row r="8" spans="1:11" ht="15">
      <c r="A8" s="3">
        <v>1007</v>
      </c>
      <c r="B8" s="3" t="s">
        <v>40</v>
      </c>
      <c r="C8" s="3" t="s">
        <v>32</v>
      </c>
      <c r="D8" s="3" t="s">
        <v>41</v>
      </c>
      <c r="E8" s="3">
        <v>25</v>
      </c>
      <c r="F8" s="3">
        <v>8</v>
      </c>
      <c r="G8" s="3" t="s">
        <v>42</v>
      </c>
      <c r="H8" s="8">
        <f>E8*F8</f>
        <v>200</v>
      </c>
    </row>
    <row r="9" spans="1:11" ht="15">
      <c r="A9" s="3">
        <v>1008</v>
      </c>
      <c r="B9" s="3" t="s">
        <v>43</v>
      </c>
      <c r="C9" s="3" t="s">
        <v>35</v>
      </c>
      <c r="D9" s="3" t="s">
        <v>29</v>
      </c>
      <c r="E9" s="3">
        <v>18</v>
      </c>
      <c r="F9" s="3">
        <v>10</v>
      </c>
      <c r="G9" s="3" t="s">
        <v>44</v>
      </c>
      <c r="H9" s="8">
        <f>E9*F9</f>
        <v>180</v>
      </c>
    </row>
    <row r="10" spans="1:11" ht="15">
      <c r="A10" s="3">
        <v>1009</v>
      </c>
      <c r="B10" s="3" t="s">
        <v>45</v>
      </c>
      <c r="C10" s="3" t="s">
        <v>25</v>
      </c>
      <c r="D10" s="3" t="s">
        <v>33</v>
      </c>
      <c r="E10" s="3">
        <v>22</v>
      </c>
      <c r="F10" s="3">
        <v>25</v>
      </c>
      <c r="G10" s="3" t="s">
        <v>46</v>
      </c>
      <c r="H10" s="8">
        <f>E10*F10</f>
        <v>550</v>
      </c>
    </row>
    <row r="11" spans="1:11" ht="15">
      <c r="A11" s="3">
        <v>1010</v>
      </c>
      <c r="B11" s="3" t="s">
        <v>47</v>
      </c>
      <c r="C11" s="3" t="s">
        <v>28</v>
      </c>
      <c r="D11" s="3" t="s">
        <v>26</v>
      </c>
      <c r="E11" s="3">
        <v>8</v>
      </c>
      <c r="F11" s="3">
        <v>50</v>
      </c>
      <c r="G11" s="3" t="s">
        <v>48</v>
      </c>
      <c r="H11" s="8">
        <f>E11*F11</f>
        <v>400</v>
      </c>
    </row>
    <row r="12" spans="1:11" ht="15">
      <c r="A12" s="3">
        <v>1011</v>
      </c>
      <c r="B12" s="3" t="s">
        <v>49</v>
      </c>
      <c r="C12" s="3" t="s">
        <v>32</v>
      </c>
      <c r="D12" s="3" t="s">
        <v>38</v>
      </c>
      <c r="E12" s="3">
        <v>40</v>
      </c>
      <c r="F12" s="3">
        <v>5</v>
      </c>
      <c r="G12" s="3" t="s">
        <v>50</v>
      </c>
      <c r="H12" s="8">
        <f>E12*F12</f>
        <v>200</v>
      </c>
    </row>
    <row r="13" spans="1:11" ht="15">
      <c r="A13" s="3">
        <v>1012</v>
      </c>
      <c r="B13" s="3" t="s">
        <v>51</v>
      </c>
      <c r="C13" s="3" t="s">
        <v>35</v>
      </c>
      <c r="D13" s="3" t="s">
        <v>41</v>
      </c>
      <c r="E13" s="3">
        <v>35</v>
      </c>
      <c r="F13" s="3">
        <v>8</v>
      </c>
      <c r="G13" s="3" t="s">
        <v>52</v>
      </c>
      <c r="H13" s="8">
        <f>E13*F13</f>
        <v>280</v>
      </c>
    </row>
    <row r="14" spans="1:11" ht="15">
      <c r="A14" s="3">
        <v>1013</v>
      </c>
      <c r="B14" s="3" t="s">
        <v>53</v>
      </c>
      <c r="C14" s="3" t="s">
        <v>25</v>
      </c>
      <c r="D14" s="3" t="s">
        <v>26</v>
      </c>
      <c r="E14" s="3">
        <v>14</v>
      </c>
      <c r="F14" s="3">
        <v>50</v>
      </c>
      <c r="G14" s="3" t="s">
        <v>54</v>
      </c>
      <c r="H14" s="8">
        <f>E14*F14</f>
        <v>700</v>
      </c>
    </row>
    <row r="15" spans="1:11" ht="15">
      <c r="A15" s="3">
        <v>1014</v>
      </c>
      <c r="B15" s="3" t="s">
        <v>55</v>
      </c>
      <c r="C15" s="3" t="s">
        <v>28</v>
      </c>
      <c r="D15" s="3" t="s">
        <v>29</v>
      </c>
      <c r="E15" s="3">
        <v>28</v>
      </c>
      <c r="F15" s="3">
        <v>10</v>
      </c>
      <c r="G15" s="3" t="s">
        <v>56</v>
      </c>
      <c r="H15" s="8">
        <f>E15*F15</f>
        <v>280</v>
      </c>
    </row>
    <row r="16" spans="1:11" ht="15">
      <c r="A16" s="3">
        <v>1015</v>
      </c>
      <c r="B16" s="3" t="s">
        <v>57</v>
      </c>
      <c r="C16" s="3" t="s">
        <v>32</v>
      </c>
      <c r="D16" s="3" t="s">
        <v>33</v>
      </c>
      <c r="E16" s="3">
        <v>12</v>
      </c>
      <c r="F16" s="3">
        <v>25</v>
      </c>
      <c r="G16" s="3" t="s">
        <v>58</v>
      </c>
      <c r="H16" s="8">
        <f>E16*F16</f>
        <v>300</v>
      </c>
    </row>
    <row r="17" spans="1:8" ht="15">
      <c r="A17" s="3">
        <v>1016</v>
      </c>
      <c r="B17" s="3" t="s">
        <v>59</v>
      </c>
      <c r="C17" s="3" t="s">
        <v>35</v>
      </c>
      <c r="D17" s="3" t="s">
        <v>38</v>
      </c>
      <c r="E17" s="3">
        <v>25</v>
      </c>
      <c r="F17" s="3">
        <v>5</v>
      </c>
      <c r="G17" s="3" t="s">
        <v>60</v>
      </c>
      <c r="H17" s="8">
        <f>E17*F17</f>
        <v>125</v>
      </c>
    </row>
    <row r="18" spans="1:8" ht="15">
      <c r="A18" s="3">
        <v>1017</v>
      </c>
      <c r="B18" s="3" t="s">
        <v>61</v>
      </c>
      <c r="C18" s="3" t="s">
        <v>25</v>
      </c>
      <c r="D18" s="3" t="s">
        <v>41</v>
      </c>
      <c r="E18" s="3">
        <v>20</v>
      </c>
      <c r="F18" s="3">
        <v>8</v>
      </c>
      <c r="G18" s="3" t="s">
        <v>62</v>
      </c>
      <c r="H18" s="8">
        <f>E18*F18</f>
        <v>160</v>
      </c>
    </row>
    <row r="19" spans="1:8" ht="15">
      <c r="A19" s="3">
        <v>1018</v>
      </c>
      <c r="B19" s="3" t="s">
        <v>63</v>
      </c>
      <c r="C19" s="3" t="s">
        <v>28</v>
      </c>
      <c r="D19" s="3" t="s">
        <v>26</v>
      </c>
      <c r="E19" s="3">
        <v>10</v>
      </c>
      <c r="F19" s="3">
        <v>50</v>
      </c>
      <c r="G19" s="3" t="s">
        <v>64</v>
      </c>
      <c r="H19" s="8">
        <f>E19*F19</f>
        <v>500</v>
      </c>
    </row>
    <row r="20" spans="1:8" ht="15">
      <c r="A20" s="3">
        <v>1019</v>
      </c>
      <c r="B20" s="3" t="s">
        <v>65</v>
      </c>
      <c r="C20" s="3" t="s">
        <v>32</v>
      </c>
      <c r="D20" s="3" t="s">
        <v>29</v>
      </c>
      <c r="E20" s="3">
        <v>15</v>
      </c>
      <c r="F20" s="3">
        <v>10</v>
      </c>
      <c r="G20" s="3" t="s">
        <v>66</v>
      </c>
      <c r="H20" s="8">
        <f>E20*F20</f>
        <v>150</v>
      </c>
    </row>
    <row r="21" spans="1:8" ht="15">
      <c r="A21" s="3">
        <v>1020</v>
      </c>
      <c r="B21" s="3" t="s">
        <v>67</v>
      </c>
      <c r="C21" s="3" t="s">
        <v>35</v>
      </c>
      <c r="D21" s="3" t="s">
        <v>33</v>
      </c>
      <c r="E21" s="3">
        <v>18</v>
      </c>
      <c r="F21" s="3">
        <v>25</v>
      </c>
      <c r="G21" s="4">
        <v>45293</v>
      </c>
      <c r="H21" s="8">
        <f>E21*F21</f>
        <v>450</v>
      </c>
    </row>
    <row r="22" spans="1:8" ht="15">
      <c r="A22" s="3">
        <v>1021</v>
      </c>
      <c r="B22" s="3" t="s">
        <v>68</v>
      </c>
      <c r="C22" s="3" t="s">
        <v>25</v>
      </c>
      <c r="D22" s="3" t="s">
        <v>26</v>
      </c>
      <c r="E22" s="3">
        <v>9</v>
      </c>
      <c r="F22" s="3">
        <v>50</v>
      </c>
      <c r="G22" s="4">
        <v>45324</v>
      </c>
      <c r="H22" s="8">
        <f>E22*F22</f>
        <v>450</v>
      </c>
    </row>
    <row r="23" spans="1:8" ht="15">
      <c r="A23" s="3">
        <v>1022</v>
      </c>
      <c r="B23" s="3" t="s">
        <v>69</v>
      </c>
      <c r="C23" s="3" t="s">
        <v>28</v>
      </c>
      <c r="D23" s="3" t="s">
        <v>38</v>
      </c>
      <c r="E23" s="3">
        <v>35</v>
      </c>
      <c r="F23" s="3">
        <v>5</v>
      </c>
      <c r="G23" s="4">
        <v>45353</v>
      </c>
      <c r="H23" s="8">
        <f>E23*F23</f>
        <v>175</v>
      </c>
    </row>
    <row r="24" spans="1:8" ht="15">
      <c r="A24" s="3">
        <v>1023</v>
      </c>
      <c r="B24" s="3" t="s">
        <v>70</v>
      </c>
      <c r="C24" s="3" t="s">
        <v>32</v>
      </c>
      <c r="D24" s="3" t="s">
        <v>41</v>
      </c>
      <c r="E24" s="3">
        <v>30</v>
      </c>
      <c r="F24" s="3">
        <v>8</v>
      </c>
      <c r="G24" s="4">
        <v>45384</v>
      </c>
      <c r="H24" s="8">
        <f>E24*F24</f>
        <v>240</v>
      </c>
    </row>
    <row r="25" spans="1:8" ht="15">
      <c r="A25" s="3">
        <v>1024</v>
      </c>
      <c r="B25" s="3" t="s">
        <v>71</v>
      </c>
      <c r="C25" s="3" t="s">
        <v>35</v>
      </c>
      <c r="D25" s="3" t="s">
        <v>26</v>
      </c>
      <c r="E25" s="3">
        <v>11</v>
      </c>
      <c r="F25" s="3">
        <v>50</v>
      </c>
      <c r="G25" s="4">
        <v>45445</v>
      </c>
      <c r="H25" s="8">
        <f>E25*F25</f>
        <v>550</v>
      </c>
    </row>
    <row r="26" spans="1:8" ht="15">
      <c r="A26" s="3">
        <v>1025</v>
      </c>
      <c r="B26" s="3" t="s">
        <v>72</v>
      </c>
      <c r="C26" s="3" t="s">
        <v>25</v>
      </c>
      <c r="D26" s="3" t="s">
        <v>29</v>
      </c>
      <c r="E26" s="3">
        <v>14</v>
      </c>
      <c r="F26" s="3">
        <v>10</v>
      </c>
      <c r="G26" s="4">
        <v>45475</v>
      </c>
      <c r="H26" s="8">
        <f>E26*F26</f>
        <v>140</v>
      </c>
    </row>
    <row r="27" spans="1:8" ht="15">
      <c r="A27" s="3">
        <v>1026</v>
      </c>
      <c r="B27" s="3" t="s">
        <v>73</v>
      </c>
      <c r="C27" s="3" t="s">
        <v>28</v>
      </c>
      <c r="D27" s="3" t="s">
        <v>33</v>
      </c>
      <c r="E27" s="3">
        <v>16</v>
      </c>
      <c r="F27" s="3">
        <v>25</v>
      </c>
      <c r="G27" s="4">
        <v>45506</v>
      </c>
      <c r="H27" s="8">
        <f>E27*F27</f>
        <v>400</v>
      </c>
    </row>
    <row r="28" spans="1:8" ht="15">
      <c r="A28" s="3">
        <v>1027</v>
      </c>
      <c r="B28" s="3" t="s">
        <v>74</v>
      </c>
      <c r="C28" s="3" t="s">
        <v>32</v>
      </c>
      <c r="D28" s="3" t="s">
        <v>38</v>
      </c>
      <c r="E28" s="3">
        <v>22</v>
      </c>
      <c r="F28" s="3">
        <v>5</v>
      </c>
      <c r="G28" s="4">
        <v>45537</v>
      </c>
      <c r="H28" s="8">
        <f>E28*F28</f>
        <v>110</v>
      </c>
    </row>
    <row r="29" spans="1:8" ht="15">
      <c r="A29" s="3">
        <v>1028</v>
      </c>
      <c r="B29" s="3" t="s">
        <v>75</v>
      </c>
      <c r="C29" s="3" t="s">
        <v>35</v>
      </c>
      <c r="D29" s="3" t="s">
        <v>41</v>
      </c>
      <c r="E29" s="3">
        <v>27</v>
      </c>
      <c r="F29" s="3">
        <v>8</v>
      </c>
      <c r="G29" s="4">
        <v>45567</v>
      </c>
      <c r="H29" s="8">
        <f>E29*F29</f>
        <v>216</v>
      </c>
    </row>
    <row r="30" spans="1:8" ht="15">
      <c r="A30" s="3">
        <v>1029</v>
      </c>
      <c r="B30" s="3" t="s">
        <v>76</v>
      </c>
      <c r="C30" s="3" t="s">
        <v>25</v>
      </c>
      <c r="D30" s="3" t="s">
        <v>26</v>
      </c>
      <c r="E30" s="3">
        <v>13</v>
      </c>
      <c r="F30" s="3">
        <v>50</v>
      </c>
      <c r="G30" s="4">
        <v>45628</v>
      </c>
      <c r="H30" s="8">
        <f>E30*F30</f>
        <v>650</v>
      </c>
    </row>
    <row r="31" spans="1:8" ht="15">
      <c r="A31" s="3">
        <v>1030</v>
      </c>
      <c r="B31" s="3" t="s">
        <v>77</v>
      </c>
      <c r="C31" s="3" t="s">
        <v>28</v>
      </c>
      <c r="D31" s="3" t="s">
        <v>29</v>
      </c>
      <c r="E31" s="3">
        <v>32</v>
      </c>
      <c r="F31" s="3">
        <v>10</v>
      </c>
      <c r="G31" s="3" t="s">
        <v>78</v>
      </c>
      <c r="H31" s="8">
        <f>E31*F31</f>
        <v>320</v>
      </c>
    </row>
    <row r="32" spans="1:8" ht="15">
      <c r="A32" s="3">
        <v>1031</v>
      </c>
      <c r="B32" s="3" t="s">
        <v>79</v>
      </c>
      <c r="C32" s="3" t="s">
        <v>32</v>
      </c>
      <c r="D32" s="3" t="s">
        <v>33</v>
      </c>
      <c r="E32" s="3">
        <v>10</v>
      </c>
      <c r="F32" s="3">
        <v>25</v>
      </c>
      <c r="G32" s="3" t="s">
        <v>80</v>
      </c>
      <c r="H32" s="8">
        <f>E32*F32</f>
        <v>250</v>
      </c>
    </row>
    <row r="33" spans="1:8" ht="15">
      <c r="A33" s="3">
        <v>1032</v>
      </c>
      <c r="B33" s="3" t="s">
        <v>81</v>
      </c>
      <c r="C33" s="3" t="s">
        <v>35</v>
      </c>
      <c r="D33" s="3" t="s">
        <v>38</v>
      </c>
      <c r="E33" s="3">
        <v>18</v>
      </c>
      <c r="F33" s="3">
        <v>5</v>
      </c>
      <c r="G33" s="3" t="s">
        <v>82</v>
      </c>
      <c r="H33" s="8">
        <f>E33*F33</f>
        <v>90</v>
      </c>
    </row>
    <row r="34" spans="1:8" ht="15">
      <c r="A34" s="3">
        <v>1033</v>
      </c>
      <c r="B34" s="3" t="s">
        <v>83</v>
      </c>
      <c r="C34" s="3" t="s">
        <v>25</v>
      </c>
      <c r="D34" s="3" t="s">
        <v>41</v>
      </c>
      <c r="E34" s="3">
        <v>22</v>
      </c>
      <c r="F34" s="3">
        <v>8</v>
      </c>
      <c r="G34" s="3" t="s">
        <v>84</v>
      </c>
      <c r="H34" s="8">
        <f>E34*F34</f>
        <v>176</v>
      </c>
    </row>
    <row r="35" spans="1:8" ht="15">
      <c r="A35" s="3">
        <v>1034</v>
      </c>
      <c r="B35" s="3" t="s">
        <v>85</v>
      </c>
      <c r="C35" s="3" t="s">
        <v>28</v>
      </c>
      <c r="D35" s="3" t="s">
        <v>26</v>
      </c>
      <c r="E35" s="3">
        <v>17</v>
      </c>
      <c r="F35" s="3">
        <v>50</v>
      </c>
      <c r="G35" s="3" t="s">
        <v>86</v>
      </c>
      <c r="H35" s="8">
        <f>E35*F35</f>
        <v>850</v>
      </c>
    </row>
    <row r="36" spans="1:8" ht="15">
      <c r="A36" s="3">
        <v>1035</v>
      </c>
      <c r="B36" s="3" t="s">
        <v>87</v>
      </c>
      <c r="C36" s="3" t="s">
        <v>32</v>
      </c>
      <c r="D36" s="3" t="s">
        <v>29</v>
      </c>
      <c r="E36" s="3">
        <v>19</v>
      </c>
      <c r="F36" s="3">
        <v>10</v>
      </c>
      <c r="G36" s="3" t="s">
        <v>88</v>
      </c>
      <c r="H36" s="8">
        <f>E36*F36</f>
        <v>190</v>
      </c>
    </row>
    <row r="37" spans="1:8" ht="15">
      <c r="A37" s="3">
        <v>1036</v>
      </c>
      <c r="B37" s="3" t="s">
        <v>89</v>
      </c>
      <c r="C37" s="3" t="s">
        <v>35</v>
      </c>
      <c r="D37" s="3" t="s">
        <v>33</v>
      </c>
      <c r="E37" s="3">
        <v>15</v>
      </c>
      <c r="F37" s="3">
        <v>25</v>
      </c>
      <c r="G37" s="3" t="s">
        <v>90</v>
      </c>
      <c r="H37" s="8">
        <f>E37*F37</f>
        <v>375</v>
      </c>
    </row>
    <row r="38" spans="1:8" ht="15">
      <c r="A38" s="3">
        <v>1037</v>
      </c>
      <c r="B38" s="3" t="s">
        <v>91</v>
      </c>
      <c r="C38" s="3" t="s">
        <v>25</v>
      </c>
      <c r="D38" s="3" t="s">
        <v>38</v>
      </c>
      <c r="E38" s="3">
        <v>28</v>
      </c>
      <c r="F38" s="3">
        <v>5</v>
      </c>
      <c r="G38" s="3" t="s">
        <v>92</v>
      </c>
      <c r="H38" s="8">
        <f>E38*F38</f>
        <v>140</v>
      </c>
    </row>
    <row r="39" spans="1:8" ht="15">
      <c r="A39" s="3">
        <v>1038</v>
      </c>
      <c r="B39" s="3" t="s">
        <v>93</v>
      </c>
      <c r="C39" s="3" t="s">
        <v>28</v>
      </c>
      <c r="D39" s="3" t="s">
        <v>41</v>
      </c>
      <c r="E39" s="3">
        <v>24</v>
      </c>
      <c r="F39" s="3">
        <v>8</v>
      </c>
      <c r="G39" s="3" t="s">
        <v>94</v>
      </c>
      <c r="H39" s="8">
        <f>E39*F39</f>
        <v>192</v>
      </c>
    </row>
    <row r="40" spans="1:8" ht="15">
      <c r="A40" s="3">
        <v>1039</v>
      </c>
      <c r="B40" s="3" t="s">
        <v>95</v>
      </c>
      <c r="C40" s="3" t="s">
        <v>32</v>
      </c>
      <c r="D40" s="3" t="s">
        <v>26</v>
      </c>
      <c r="E40" s="3">
        <v>16</v>
      </c>
      <c r="F40" s="3">
        <v>50</v>
      </c>
      <c r="G40" s="3" t="s">
        <v>96</v>
      </c>
      <c r="H40" s="8">
        <f>E40*F40</f>
        <v>800</v>
      </c>
    </row>
    <row r="41" spans="1:8" ht="15">
      <c r="A41" s="3">
        <v>1040</v>
      </c>
      <c r="B41" s="3" t="s">
        <v>97</v>
      </c>
      <c r="C41" s="3" t="s">
        <v>35</v>
      </c>
      <c r="D41" s="3" t="s">
        <v>29</v>
      </c>
      <c r="E41" s="3">
        <v>27</v>
      </c>
      <c r="F41" s="3">
        <v>10</v>
      </c>
      <c r="G41" s="3" t="s">
        <v>98</v>
      </c>
      <c r="H41" s="8">
        <f>E41*F41</f>
        <v>270</v>
      </c>
    </row>
    <row r="42" spans="1:8" ht="15">
      <c r="A42" s="3">
        <v>1041</v>
      </c>
      <c r="B42" s="3" t="s">
        <v>99</v>
      </c>
      <c r="C42" s="3" t="s">
        <v>25</v>
      </c>
      <c r="D42" s="3" t="s">
        <v>33</v>
      </c>
      <c r="E42" s="3">
        <v>21</v>
      </c>
      <c r="F42" s="3">
        <v>25</v>
      </c>
      <c r="G42" s="3" t="s">
        <v>100</v>
      </c>
      <c r="H42" s="8">
        <f>E42*F42</f>
        <v>525</v>
      </c>
    </row>
    <row r="43" spans="1:8" ht="15">
      <c r="A43" s="3">
        <v>1042</v>
      </c>
      <c r="B43" s="3" t="s">
        <v>101</v>
      </c>
      <c r="C43" s="3" t="s">
        <v>28</v>
      </c>
      <c r="D43" s="3" t="s">
        <v>38</v>
      </c>
      <c r="E43" s="3">
        <v>30</v>
      </c>
      <c r="F43" s="3">
        <v>5</v>
      </c>
      <c r="G43" s="3" t="s">
        <v>102</v>
      </c>
      <c r="H43" s="8">
        <f>E43*F43</f>
        <v>150</v>
      </c>
    </row>
    <row r="44" spans="1:8" ht="15">
      <c r="A44" s="3">
        <v>1043</v>
      </c>
      <c r="B44" s="3" t="s">
        <v>103</v>
      </c>
      <c r="C44" s="3" t="s">
        <v>32</v>
      </c>
      <c r="D44" s="3" t="s">
        <v>41</v>
      </c>
      <c r="E44" s="3">
        <v>26</v>
      </c>
      <c r="F44" s="3">
        <v>8</v>
      </c>
      <c r="G44" s="4">
        <v>45294</v>
      </c>
      <c r="H44" s="8">
        <f>E44*F44</f>
        <v>208</v>
      </c>
    </row>
    <row r="45" spans="1:8" ht="15">
      <c r="A45" s="3">
        <v>1044</v>
      </c>
      <c r="B45" s="3" t="s">
        <v>104</v>
      </c>
      <c r="C45" s="3" t="s">
        <v>35</v>
      </c>
      <c r="D45" s="3" t="s">
        <v>26</v>
      </c>
      <c r="E45" s="3">
        <v>14</v>
      </c>
      <c r="F45" s="3">
        <v>50</v>
      </c>
      <c r="G45" s="4">
        <v>45325</v>
      </c>
      <c r="H45" s="8">
        <f>E45*F45</f>
        <v>700</v>
      </c>
    </row>
    <row r="46" spans="1:8" ht="15">
      <c r="A46" s="3">
        <v>1045</v>
      </c>
      <c r="B46" s="3" t="s">
        <v>105</v>
      </c>
      <c r="C46" s="3" t="s">
        <v>25</v>
      </c>
      <c r="D46" s="3" t="s">
        <v>29</v>
      </c>
      <c r="E46" s="3">
        <v>20</v>
      </c>
      <c r="F46" s="3">
        <v>10</v>
      </c>
      <c r="G46" s="4">
        <v>45354</v>
      </c>
      <c r="H46" s="8">
        <f>E46*F46</f>
        <v>200</v>
      </c>
    </row>
    <row r="47" spans="1:8" ht="15">
      <c r="A47" s="3">
        <v>1046</v>
      </c>
      <c r="B47" s="3" t="s">
        <v>106</v>
      </c>
      <c r="C47" s="3" t="s">
        <v>28</v>
      </c>
      <c r="D47" s="3" t="s">
        <v>33</v>
      </c>
      <c r="E47" s="3">
        <v>17</v>
      </c>
      <c r="F47" s="3">
        <v>25</v>
      </c>
      <c r="G47" s="4">
        <v>45385</v>
      </c>
      <c r="H47" s="8">
        <f>E47*F47</f>
        <v>425</v>
      </c>
    </row>
    <row r="48" spans="1:8" ht="15">
      <c r="A48" s="3">
        <v>1047</v>
      </c>
      <c r="B48" s="3" t="s">
        <v>107</v>
      </c>
      <c r="C48" s="3" t="s">
        <v>32</v>
      </c>
      <c r="D48" s="3" t="s">
        <v>38</v>
      </c>
      <c r="E48" s="3">
        <v>19</v>
      </c>
      <c r="F48" s="3">
        <v>5</v>
      </c>
      <c r="G48" s="4">
        <v>45415</v>
      </c>
      <c r="H48" s="8">
        <f>E48*F48</f>
        <v>95</v>
      </c>
    </row>
    <row r="49" spans="1:8" ht="15">
      <c r="A49" s="3">
        <v>1048</v>
      </c>
      <c r="B49" s="3" t="s">
        <v>108</v>
      </c>
      <c r="C49" s="3" t="s">
        <v>35</v>
      </c>
      <c r="D49" s="3" t="s">
        <v>41</v>
      </c>
      <c r="E49" s="3">
        <v>32</v>
      </c>
      <c r="F49" s="3">
        <v>8</v>
      </c>
      <c r="G49" s="4">
        <v>45446</v>
      </c>
      <c r="H49" s="8">
        <f>E49*F49</f>
        <v>256</v>
      </c>
    </row>
    <row r="50" spans="1:8" ht="15">
      <c r="A50" s="3">
        <v>1049</v>
      </c>
      <c r="B50" s="3" t="s">
        <v>109</v>
      </c>
      <c r="C50" s="3" t="s">
        <v>25</v>
      </c>
      <c r="D50" s="3" t="s">
        <v>26</v>
      </c>
      <c r="E50" s="3">
        <v>12</v>
      </c>
      <c r="F50" s="3">
        <v>50</v>
      </c>
      <c r="G50" s="4">
        <v>45476</v>
      </c>
      <c r="H50" s="8">
        <f>E50*F50</f>
        <v>600</v>
      </c>
    </row>
    <row r="51" spans="1:8" ht="15">
      <c r="A51" s="3">
        <v>1050</v>
      </c>
      <c r="B51" s="3" t="s">
        <v>110</v>
      </c>
      <c r="C51" s="3" t="s">
        <v>28</v>
      </c>
      <c r="D51" s="3" t="s">
        <v>29</v>
      </c>
      <c r="E51" s="3">
        <v>25</v>
      </c>
      <c r="F51" s="3">
        <v>10</v>
      </c>
      <c r="G51" s="4">
        <v>45507</v>
      </c>
      <c r="H51" s="8">
        <f>E51*F51</f>
        <v>250</v>
      </c>
    </row>
    <row r="52" spans="1:8" ht="15">
      <c r="A52" s="1"/>
      <c r="B52" s="1"/>
      <c r="C52" s="1"/>
      <c r="D52" s="1"/>
      <c r="E52" s="1"/>
      <c r="F52" s="1"/>
      <c r="G52" s="1"/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F878-D9E2-4325-B6E5-C258D60EB7B9}">
  <dimension ref="F3:G9"/>
  <sheetViews>
    <sheetView workbookViewId="0">
      <selection activeCell="F15" sqref="F15"/>
    </sheetView>
  </sheetViews>
  <sheetFormatPr defaultRowHeight="12.75"/>
  <cols>
    <col min="1" max="1" width="13" bestFit="1" customWidth="1"/>
    <col min="2" max="2" width="6.28515625" bestFit="1" customWidth="1"/>
    <col min="3" max="3" width="11.140625" bestFit="1" customWidth="1"/>
    <col min="4" max="4" width="33.85546875" customWidth="1"/>
    <col min="5" max="5" width="5" bestFit="1" customWidth="1"/>
    <col min="6" max="6" width="17.42578125" bestFit="1" customWidth="1"/>
    <col min="7" max="7" width="11.28515625" bestFit="1" customWidth="1"/>
  </cols>
  <sheetData>
    <row r="3" spans="6:7">
      <c r="F3" s="6" t="s">
        <v>19</v>
      </c>
      <c r="G3" s="2" t="s">
        <v>111</v>
      </c>
    </row>
    <row r="4" spans="6:7">
      <c r="F4" s="2" t="s">
        <v>41</v>
      </c>
      <c r="G4" s="7">
        <v>1928</v>
      </c>
    </row>
    <row r="5" spans="6:7">
      <c r="F5" s="2" t="s">
        <v>33</v>
      </c>
      <c r="G5" s="7">
        <v>3650</v>
      </c>
    </row>
    <row r="6" spans="6:7">
      <c r="F6" s="2" t="s">
        <v>26</v>
      </c>
      <c r="G6" s="7">
        <v>7550</v>
      </c>
    </row>
    <row r="7" spans="6:7">
      <c r="F7" s="2" t="s">
        <v>29</v>
      </c>
      <c r="G7" s="7">
        <v>2180</v>
      </c>
    </row>
    <row r="8" spans="6:7">
      <c r="F8" s="2" t="s">
        <v>38</v>
      </c>
      <c r="G8" s="7">
        <v>1235</v>
      </c>
    </row>
    <row r="9" spans="6:7">
      <c r="F9" s="2" t="s">
        <v>112</v>
      </c>
      <c r="G9" s="7">
        <v>16543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Kashyap</cp:lastModifiedBy>
  <cp:revision/>
  <dcterms:created xsi:type="dcterms:W3CDTF">2025-12-13T16:03:26Z</dcterms:created>
  <dcterms:modified xsi:type="dcterms:W3CDTF">2025-12-16T14:07:37Z</dcterms:modified>
  <cp:category/>
  <cp:contentStatus/>
</cp:coreProperties>
</file>